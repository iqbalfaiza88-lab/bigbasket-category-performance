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Category Targets" sheetId="2" r:id="rId6"/>
    <sheet state="visible" name="Pivot Table 1" sheetId="3" r:id="rId7"/>
    <sheet state="visible" name="Category 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<sst xmlns="http://schemas.openxmlformats.org/spreadsheetml/2006/main" count="73" uniqueCount="20">
  <si>
    <t>category</t>
  </si>
  <si>
    <t>month</t>
  </si>
  <si>
    <t>order_count</t>
  </si>
  <si>
    <t>target_revenue</t>
  </si>
  <si>
    <t>total_revenue</t>
  </si>
  <si>
    <t>avg_revenue</t>
  </si>
  <si>
    <t>Bakery</t>
  </si>
  <si>
    <t>Dairy &amp; Eggs</t>
  </si>
  <si>
    <t>Fruits &amp; Vegetables</t>
  </si>
  <si>
    <t>actual_revenue</t>
  </si>
  <si>
    <t>Household Essentials</t>
  </si>
  <si>
    <t>Personal Care</t>
  </si>
  <si>
    <t>variance</t>
  </si>
  <si>
    <t>Snacks &amp; Beverages</t>
  </si>
  <si>
    <t>percentage_variance</t>
  </si>
  <si>
    <t>tier</t>
  </si>
  <si>
    <t>reconciliation</t>
  </si>
  <si>
    <t>SUM of total_revenue</t>
  </si>
  <si>
    <t>SUM of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</si>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</sst>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0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>
      <c r="A2" s="1" t="s">
        <v>6</v>
      </c>
      <c r="B2" s="2">
        <v>46023.0</v>
      </c>
      <c r="C2" s="1">
        <v>6.0</v>
      </c>
      <c r="D2" s="1">
        <v>735.0</v>
      </c>
      <c r="E2" s="1">
        <v>122.5</v>
      </c>
    </row>
    <row r="3">
      <c r="A3" s="1" t="s">
        <v>6</v>
      </c>
      <c r="B3" s="2">
        <v>46054.0</v>
      </c>
      <c r="C3" s="1">
        <v>8.0</v>
      </c>
      <c r="D3" s="1">
        <v>2440.0</v>
      </c>
      <c r="E3" s="1">
        <v>305.0</v>
      </c>
    </row>
    <row r="4">
      <c r="A4" s="1" t="s">
        <v>6</v>
      </c>
      <c r="B4" s="2">
        <v>46082.0</v>
      </c>
      <c r="C4" s="1">
        <v>11.0</v>
      </c>
      <c r="D4" s="1">
        <v>3090.0</v>
      </c>
      <c r="E4" s="1">
        <v>280.90909090909</v>
      </c>
    </row>
    <row r="5">
      <c r="A5" s="1" t="s">
        <v>6</v>
      </c>
      <c r="B5" s="2">
        <v>46113.0</v>
      </c>
      <c r="C5" s="1">
        <v>13.0</v>
      </c>
      <c r="D5" s="1">
        <v>3115.0</v>
      </c>
      <c r="E5" s="1">
        <v>239.615384615384</v>
      </c>
    </row>
    <row r="6">
      <c r="A6" s="1" t="s">
        <v>6</v>
      </c>
      <c r="B6" s="2">
        <v>46143.0</v>
      </c>
      <c r="C6" s="1">
        <v>15.0</v>
      </c>
      <c r="D6" s="1">
        <v>3695.0</v>
      </c>
      <c r="E6" s="1">
        <v>246.333333333333</v>
      </c>
    </row>
    <row r="7">
      <c r="A7" s="1" t="s">
        <v>6</v>
      </c>
      <c r="B7" s="2">
        <v>46174.0</v>
      </c>
      <c r="C7" s="1">
        <v>14.0</v>
      </c>
      <c r="D7" s="1">
        <v>2335.0</v>
      </c>
      <c r="E7" s="1">
        <v>166.785714285714</v>
      </c>
    </row>
    <row r="8">
      <c r="A8" s="1" t="s">
        <v>7</v>
      </c>
      <c r="B8" s="2">
        <v>46023.0</v>
      </c>
      <c r="C8" s="1">
        <v>9.0</v>
      </c>
      <c r="D8" s="1">
        <v>2035.0</v>
      </c>
      <c r="E8" s="1">
        <v>226.111111111111</v>
      </c>
    </row>
    <row r="9">
      <c r="A9" s="1" t="s">
        <v>7</v>
      </c>
      <c r="B9" s="2">
        <v>46054.0</v>
      </c>
      <c r="C9" s="1">
        <v>8.0</v>
      </c>
      <c r="D9" s="1">
        <v>1935.0</v>
      </c>
      <c r="E9" s="1">
        <v>241.875</v>
      </c>
    </row>
    <row r="10">
      <c r="A10" s="1" t="s">
        <v>7</v>
      </c>
      <c r="B10" s="2">
        <v>46082.0</v>
      </c>
      <c r="C10" s="1">
        <v>15.0</v>
      </c>
      <c r="D10" s="1">
        <v>3163.0</v>
      </c>
      <c r="E10" s="1">
        <v>210.866666666666</v>
      </c>
    </row>
    <row r="11">
      <c r="A11" s="1" t="s">
        <v>7</v>
      </c>
      <c r="B11" s="2">
        <v>46113.0</v>
      </c>
      <c r="C11" s="1">
        <v>9.0</v>
      </c>
      <c r="D11" s="1">
        <v>1650.0</v>
      </c>
      <c r="E11" s="1">
        <v>183.333333333333</v>
      </c>
    </row>
    <row r="12">
      <c r="A12" s="1" t="s">
        <v>7</v>
      </c>
      <c r="B12" s="2">
        <v>46143.0</v>
      </c>
      <c r="C12" s="1">
        <v>14.0</v>
      </c>
      <c r="D12" s="1">
        <v>3479.0</v>
      </c>
      <c r="E12" s="1">
        <v>248.5</v>
      </c>
    </row>
    <row r="13">
      <c r="A13" s="1" t="s">
        <v>7</v>
      </c>
      <c r="B13" s="2">
        <v>46174.0</v>
      </c>
      <c r="C13" s="1">
        <v>11.0</v>
      </c>
      <c r="D13" s="1">
        <v>1828.0</v>
      </c>
      <c r="E13" s="1">
        <v>166.181818181818</v>
      </c>
    </row>
    <row r="14">
      <c r="A14" s="1" t="s">
        <v>8</v>
      </c>
      <c r="B14" s="2">
        <v>46023.0</v>
      </c>
      <c r="C14" s="1">
        <v>12.0</v>
      </c>
      <c r="D14" s="1">
        <v>1290.0</v>
      </c>
      <c r="E14" s="1">
        <v>107.5</v>
      </c>
    </row>
    <row r="15">
      <c r="A15" s="1" t="s">
        <v>8</v>
      </c>
      <c r="B15" s="2">
        <v>46054.0</v>
      </c>
      <c r="C15" s="1">
        <v>13.0</v>
      </c>
      <c r="D15" s="1">
        <v>2090.0</v>
      </c>
      <c r="E15" s="1">
        <v>160.76923076923</v>
      </c>
    </row>
    <row r="16">
      <c r="A16" s="1" t="s">
        <v>8</v>
      </c>
      <c r="B16" s="2">
        <v>46082.0</v>
      </c>
      <c r="C16" s="1">
        <v>13.0</v>
      </c>
      <c r="D16" s="1">
        <v>2080.0</v>
      </c>
      <c r="E16" s="1">
        <v>160.0</v>
      </c>
    </row>
    <row r="17">
      <c r="A17" s="1" t="s">
        <v>8</v>
      </c>
      <c r="B17" s="2">
        <v>46113.0</v>
      </c>
      <c r="C17" s="1">
        <v>14.0</v>
      </c>
      <c r="D17" s="1">
        <v>1400.0</v>
      </c>
      <c r="E17" s="1">
        <v>100.0</v>
      </c>
    </row>
    <row r="18">
      <c r="A18" s="1" t="s">
        <v>8</v>
      </c>
      <c r="B18" s="2">
        <v>46143.0</v>
      </c>
      <c r="C18" s="1">
        <v>12.0</v>
      </c>
      <c r="D18" s="1">
        <v>1870.0</v>
      </c>
      <c r="E18" s="1">
        <v>155.833333333333</v>
      </c>
    </row>
    <row r="19">
      <c r="A19" s="1" t="s">
        <v>8</v>
      </c>
      <c r="B19" s="2">
        <v>46174.0</v>
      </c>
      <c r="C19" s="1">
        <v>9.0</v>
      </c>
      <c r="D19" s="1">
        <v>1060.0</v>
      </c>
      <c r="E19" s="1">
        <v>117.777777777777</v>
      </c>
    </row>
    <row r="20">
      <c r="A20" s="1" t="s">
        <v>10</v>
      </c>
      <c r="B20" s="2">
        <v>46023.0</v>
      </c>
      <c r="C20" s="1">
        <v>10.0</v>
      </c>
      <c r="D20" s="1">
        <v>2099.0</v>
      </c>
      <c r="E20" s="1">
        <v>209.9</v>
      </c>
    </row>
    <row r="21">
      <c r="A21" s="1" t="s">
        <v>10</v>
      </c>
      <c r="B21" s="2">
        <v>46054.0</v>
      </c>
      <c r="C21" s="1">
        <v>16.0</v>
      </c>
      <c r="D21" s="1">
        <v>5113.0</v>
      </c>
      <c r="E21" s="1">
        <v>319.5625</v>
      </c>
    </row>
    <row r="22">
      <c r="A22" s="1" t="s">
        <v>10</v>
      </c>
      <c r="B22" s="2">
        <v>46082.0</v>
      </c>
      <c r="C22" s="1">
        <v>8.0</v>
      </c>
      <c r="D22" s="1">
        <v>1885.0</v>
      </c>
      <c r="E22" s="1">
        <v>235.625</v>
      </c>
    </row>
    <row r="23">
      <c r="A23" s="1" t="s">
        <v>10</v>
      </c>
      <c r="B23" s="2">
        <v>46113.0</v>
      </c>
      <c r="C23" s="1">
        <v>17.0</v>
      </c>
      <c r="D23" s="1">
        <v>5491.0</v>
      </c>
      <c r="E23" s="1">
        <v>323.0</v>
      </c>
    </row>
    <row r="24">
      <c r="A24" s="1" t="s">
        <v>10</v>
      </c>
      <c r="B24" s="2">
        <v>46143.0</v>
      </c>
      <c r="C24" s="1">
        <v>16.0</v>
      </c>
      <c r="D24" s="1">
        <v>3477.0</v>
      </c>
      <c r="E24" s="1">
        <v>217.3125</v>
      </c>
    </row>
    <row r="25">
      <c r="A25" s="1" t="s">
        <v>10</v>
      </c>
      <c r="B25" s="2">
        <v>46174.0</v>
      </c>
      <c r="C25" s="1">
        <v>12.0</v>
      </c>
      <c r="D25" s="1">
        <v>3650.0</v>
      </c>
      <c r="E25" s="1">
        <v>304.166666666666</v>
      </c>
    </row>
    <row r="26">
      <c r="A26" s="1" t="s">
        <v>11</v>
      </c>
      <c r="B26" s="2">
        <v>46023.0</v>
      </c>
      <c r="C26" s="1">
        <v>12.0</v>
      </c>
      <c r="D26" s="1">
        <v>3608.0</v>
      </c>
      <c r="E26" s="1">
        <v>300.666666666666</v>
      </c>
    </row>
    <row r="27">
      <c r="A27" s="1" t="s">
        <v>11</v>
      </c>
      <c r="B27" s="2">
        <v>46054.0</v>
      </c>
      <c r="C27" s="1">
        <v>8.0</v>
      </c>
      <c r="D27" s="1">
        <v>2177.0</v>
      </c>
      <c r="E27" s="1">
        <v>272.125</v>
      </c>
    </row>
    <row r="28">
      <c r="A28" s="1" t="s">
        <v>11</v>
      </c>
      <c r="B28" s="2">
        <v>46082.0</v>
      </c>
      <c r="C28" s="1">
        <v>11.0</v>
      </c>
      <c r="D28" s="1">
        <v>2807.0</v>
      </c>
      <c r="E28" s="1">
        <v>255.181818181818</v>
      </c>
    </row>
    <row r="29">
      <c r="A29" s="1" t="s">
        <v>11</v>
      </c>
      <c r="B29" s="2">
        <v>46113.0</v>
      </c>
      <c r="C29" s="1">
        <v>9.0</v>
      </c>
      <c r="D29" s="1">
        <v>1970.0</v>
      </c>
      <c r="E29" s="1">
        <v>218.888888888888</v>
      </c>
    </row>
    <row r="30">
      <c r="A30" s="1" t="s">
        <v>11</v>
      </c>
      <c r="B30" s="2">
        <v>46143.0</v>
      </c>
      <c r="C30" s="1">
        <v>13.0</v>
      </c>
      <c r="D30" s="1">
        <v>3045.0</v>
      </c>
      <c r="E30" s="1">
        <v>234.230769230769</v>
      </c>
    </row>
    <row r="31">
      <c r="A31" s="1" t="s">
        <v>11</v>
      </c>
      <c r="B31" s="2">
        <v>46174.0</v>
      </c>
      <c r="C31" s="1">
        <v>13.0</v>
      </c>
      <c r="D31" s="1">
        <v>2775.0</v>
      </c>
      <c r="E31" s="1">
        <v>213.461538461538</v>
      </c>
    </row>
    <row r="32">
      <c r="A32" s="1" t="s">
        <v>13</v>
      </c>
      <c r="B32" s="2">
        <v>46023.0</v>
      </c>
      <c r="C32" s="1">
        <v>10.0</v>
      </c>
      <c r="D32" s="1">
        <v>1290.0</v>
      </c>
      <c r="E32" s="1">
        <v>129.0</v>
      </c>
    </row>
    <row r="33">
      <c r="A33" s="1" t="s">
        <v>13</v>
      </c>
      <c r="B33" s="2">
        <v>46054.0</v>
      </c>
      <c r="C33" s="1">
        <v>11.0</v>
      </c>
      <c r="D33" s="1">
        <v>1330.0</v>
      </c>
      <c r="E33" s="1">
        <v>120.90909090909</v>
      </c>
    </row>
    <row r="34">
      <c r="A34" s="1" t="s">
        <v>13</v>
      </c>
      <c r="B34" s="2">
        <v>46082.0</v>
      </c>
      <c r="C34" s="1">
        <v>15.0</v>
      </c>
      <c r="D34" s="1">
        <v>1670.0</v>
      </c>
      <c r="E34" s="1">
        <v>111.333333333333</v>
      </c>
    </row>
    <row r="35">
      <c r="A35" s="1" t="s">
        <v>13</v>
      </c>
      <c r="B35" s="2">
        <v>46113.0</v>
      </c>
      <c r="C35" s="1">
        <v>19.0</v>
      </c>
      <c r="D35" s="1">
        <v>2980.0</v>
      </c>
      <c r="E35" s="1">
        <v>156.842105263157</v>
      </c>
    </row>
    <row r="36">
      <c r="A36" s="1" t="s">
        <v>13</v>
      </c>
      <c r="B36" s="2">
        <v>46143.0</v>
      </c>
      <c r="C36" s="1">
        <v>13.0</v>
      </c>
      <c r="D36" s="1">
        <v>1665.0</v>
      </c>
      <c r="E36" s="1">
        <v>128.076923076923</v>
      </c>
    </row>
    <row r="37">
      <c r="A37" s="1" t="s">
        <v>13</v>
      </c>
      <c r="B37" s="2">
        <v>46174.0</v>
      </c>
      <c r="C37" s="1">
        <v>15.0</v>
      </c>
      <c r="D37" s="1">
        <v>1960.0</v>
      </c>
      <c r="E37" s="1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1" t="s">
        <v>3</v>
      </c>
    </row>
    <row r="2">
      <c r="A2" s="1" t="s">
        <v>6</v>
      </c>
      <c r="B2" s="1">
        <v>12000.0</v>
      </c>
    </row>
    <row r="3">
      <c r="A3" s="1" t="s">
        <v>7</v>
      </c>
      <c r="B3" s="1">
        <v>16500.0</v>
      </c>
    </row>
    <row r="4">
      <c r="A4" s="1" t="s">
        <v>8</v>
      </c>
      <c r="B4" s="1">
        <v>12000.0</v>
      </c>
    </row>
    <row r="5">
      <c r="A5" s="1" t="s">
        <v>10</v>
      </c>
      <c r="B5" s="1">
        <v>17000.0</v>
      </c>
    </row>
    <row r="6">
      <c r="A6" s="1" t="s">
        <v>11</v>
      </c>
      <c r="B6" s="1">
        <v>15500.0</v>
      </c>
    </row>
    <row r="7">
      <c r="A7" s="1" t="s">
        <v>13</v>
      </c>
      <c r="B7" s="1">
        <v>13000.0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0"/>
    <col customWidth="1" min="2" max="2" width="20.75"/>
    <col customWidth="1" min="3" max="3" width="16.5"/>
  </cols>
  <sheetData>
    <row r="1"/>
    <row r="2"/>
    <row r="3"/>
    <row r="4"/>
    <row r="5"/>
    <row r="6"/>
    <row r="7"/>
    <row r="8"/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6" max="6" width="16.75"/>
    <col customWidth="1" min="7" max="7" width="18.0"/>
  </cols>
  <sheetData>
    <row r="1">
      <c r="A1" s="1" t="s">
        <v>0</v>
      </c>
      <c r="B1" s="1" t="s">
        <v>9</v>
      </c>
      <c r="C1" s="1" t="s">
        <v>2</v>
      </c>
      <c r="D1" s="1" t="s">
        <v>3</v>
      </c>
      <c r="E1" s="1" t="s">
        <v>12</v>
      </c>
      <c r="F1" s="1" t="s">
        <v>14</v>
      </c>
      <c r="G1" s="1" t="s">
        <v>15</v>
      </c>
      <c r="H1" s="1" t="s">
        <v>16</v>
      </c>
    </row>
    <row r="2">
      <c r="A2" s="1" t="s">
        <v>6</v>
      </c>
      <c r="B2" s="3">
        <f>'Pivot Table 1'!B2</f>
        <v>15410</v>
      </c>
      <c r="C2" s="3">
        <f>'Pivot Table 1'!C2</f>
        <v>67</v>
      </c>
      <c r="D2" s="3">
        <f t="array" ref="D2">_xlfn.XLOOKUP(A2,'Category Targets'!A:A,'Category Targets'!B:B,"Not Found")</f>
        <v>12000</v>
      </c>
      <c r="E2" s="3">
        <f t="shared" ref="E2:E7" si="1">B2-D2</f>
        <v>3410</v>
      </c>
      <c r="F2" s="5">
        <f t="shared" ref="F2:F7" si="2">E2/D2</f>
        <v>0.2841666667</v>
      </c>
      <c r="G2" s="3" t="str">
        <f>IF(F2&gt;=0,"Above Target",IF(F2&gt;=-0.1,"Below Target - Watch","Below Target - Critical"))</f>
        <v>Above Target</v>
      </c>
      <c r="H2" s="3" t="str">
        <f>IF(B2='Pivot Table 1'!B2,"Yes","No")</f>
        <v>Yes</v>
      </c>
    </row>
    <row r="3">
      <c r="A3" s="1" t="s">
        <v>7</v>
      </c>
      <c r="B3" s="3">
        <f>'Pivot Table 1'!B3</f>
        <v>14090</v>
      </c>
      <c r="C3" s="3">
        <f>'Pivot Table 1'!C3</f>
        <v>66</v>
      </c>
      <c r="D3" s="3">
        <f t="array" ref="D3">_xlfn.XLOOKUP(A3,'Category Targets'!A:A,'Category Targets'!B:B,"Not Found")</f>
        <v>16500</v>
      </c>
      <c r="E3" s="3">
        <f t="shared" si="1"/>
        <v>-2410</v>
      </c>
      <c r="F3" s="5">
        <f t="shared" si="2"/>
        <v>-0.1460606061</v>
      </c>
      <c r="G3" s="3" t="str">
        <f>IF(F3&gt;=0,"Above Target",IF(F3&gt;=-0.1,"Below Target - Watch","Below Target - Watch"))</f>
        <v>Below Target - Watch</v>
      </c>
      <c r="H3" s="3" t="str">
        <f>IF(B3='Pivot Table 1'!B3,"Yes","No")</f>
        <v>Yes</v>
      </c>
    </row>
    <row r="4">
      <c r="A4" s="1" t="s">
        <v>8</v>
      </c>
      <c r="B4" s="3">
        <f>'Pivot Table 1'!B4</f>
        <v>9790</v>
      </c>
      <c r="C4" s="3">
        <f>'Pivot Table 1'!C4</f>
        <v>73</v>
      </c>
      <c r="D4" s="3">
        <f t="array" ref="D4">_xlfn.XLOOKUP(A4,'Category Targets'!A:A,'Category Targets'!B:B,"Not Found")</f>
        <v>12000</v>
      </c>
      <c r="E4" s="3">
        <f t="shared" si="1"/>
        <v>-2210</v>
      </c>
      <c r="F4" s="5">
        <f t="shared" si="2"/>
        <v>-0.1841666667</v>
      </c>
      <c r="G4" s="3" t="str">
        <f t="shared" ref="G4:G7" si="3">IF(F4&gt;=0,"Above Target",IF(F4&gt;=-0.1,"Below Target - Watch","Below Target - Critical"))</f>
        <v>Below Target - Critical</v>
      </c>
      <c r="H4" s="3" t="str">
        <f>IF(B4='Pivot Table 1'!B4,"Yes","No")</f>
        <v>Yes</v>
      </c>
    </row>
    <row r="5">
      <c r="A5" s="1" t="s">
        <v>10</v>
      </c>
      <c r="B5" s="3">
        <f>'Pivot Table 1'!B5</f>
        <v>21715</v>
      </c>
      <c r="C5" s="3">
        <f>'Pivot Table 1'!C5</f>
        <v>79</v>
      </c>
      <c r="D5" s="3">
        <f t="array" ref="D5">_xlfn.XLOOKUP(A5,'Category Targets'!A:A,'Category Targets'!B:B,"Not Found")</f>
        <v>17000</v>
      </c>
      <c r="E5" s="3">
        <f t="shared" si="1"/>
        <v>4715</v>
      </c>
      <c r="F5" s="5">
        <f t="shared" si="2"/>
        <v>0.2773529412</v>
      </c>
      <c r="G5" s="3" t="str">
        <f t="shared" si="3"/>
        <v>Above Target</v>
      </c>
      <c r="H5" s="3" t="str">
        <f>IF(B5='Pivot Table 1'!B5,"Yes","No")</f>
        <v>Yes</v>
      </c>
    </row>
    <row r="6">
      <c r="A6" s="1" t="s">
        <v>11</v>
      </c>
      <c r="B6" s="3">
        <f>'Pivot Table 1'!B6</f>
        <v>16382</v>
      </c>
      <c r="C6" s="3">
        <f>'Pivot Table 1'!C6</f>
        <v>66</v>
      </c>
      <c r="D6" s="3">
        <f t="array" ref="D6">_xlfn.XLOOKUP(A6,'Category Targets'!A:A,'Category Targets'!B:B,"Not Found")</f>
        <v>15500</v>
      </c>
      <c r="E6" s="3">
        <f t="shared" si="1"/>
        <v>882</v>
      </c>
      <c r="F6" s="5">
        <f t="shared" si="2"/>
        <v>0.05690322581</v>
      </c>
      <c r="G6" s="3" t="str">
        <f t="shared" si="3"/>
        <v>Above Target</v>
      </c>
      <c r="H6" s="3" t="str">
        <f>IF(B6='Pivot Table 1'!B6,"Yes","No")</f>
        <v>Yes</v>
      </c>
    </row>
    <row r="7">
      <c r="A7" s="1" t="s">
        <v>13</v>
      </c>
      <c r="B7" s="3">
        <f>'Pivot Table 1'!B7</f>
        <v>10895</v>
      </c>
      <c r="C7" s="3">
        <f>'Pivot Table 1'!C7</f>
        <v>83</v>
      </c>
      <c r="D7" s="3">
        <f t="array" ref="D7">_xlfn.XLOOKUP(A7,'Category Targets'!A:A,'Category Targets'!B:B,"Not Found")</f>
        <v>13000</v>
      </c>
      <c r="E7" s="3">
        <f t="shared" si="1"/>
        <v>-2105</v>
      </c>
      <c r="F7" s="5">
        <f t="shared" si="2"/>
        <v>-0.1619230769</v>
      </c>
      <c r="G7" s="3" t="str">
        <f t="shared" si="3"/>
        <v>Below Target - Critical</v>
      </c>
      <c r="H7" s="3" t="str">
        <f>IF(B7='Pivot Table 1'!B7,"Yes","No")</f>
        <v>Yes</v>
      </c>
    </row>
  </sheetData>
  <conditionalFormatting sqref="E2:E7">
    <cfRule type="cellIs" dxfId="0" priority="1" operator="greaterThan">
      <formula>0</formula>
    </cfRule>
  </conditionalFormatting>
  <conditionalFormatting sqref="E2:E7">
    <cfRule type="cellIs" dxfId="0" priority="2" operator="lessThan">
      <formula>0</formula>
    </cfRule>
  </conditionalFormatting>
  <drawing r:id="rId1"/>
</worksheet>
</file>